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430"/>
  <workbookPr defaultThemeVersion="124226"/>
  <xr:revisionPtr revIDLastSave="0" documentId="8_{AA4AACA3-8B27-4074-B9B5-744FC4B1F349}" xr6:coauthVersionLast="45" xr6:coauthVersionMax="45" xr10:uidLastSave="{00000000-0000-0000-0000-000000000000}"/>
  <bookViews>
    <workbookView xWindow="1152" yWindow="1152" windowWidth="15300" windowHeight="13224" xr2:uid="{00000000-000D-0000-FFFF-FFFF00000000}"/>
  </bookViews>
  <sheets>
    <sheet name="ICICI_Online_R1" sheetId="1" r:id="rId1"/>
    <sheet name="ICICI_Online_R2" sheetId="4" r:id="rId2"/>
    <sheet name="Assignmen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1" i="4" l="1"/>
  <c r="C24" i="4" s="1"/>
  <c r="D13" i="4"/>
  <c r="B13" i="4"/>
  <c r="G13" i="4" s="1"/>
  <c r="H13" i="4" s="1"/>
  <c r="D12" i="4"/>
  <c r="B12" i="4"/>
  <c r="G12" i="4" s="1"/>
  <c r="H12" i="4" s="1"/>
  <c r="G11" i="4"/>
  <c r="H11" i="4" s="1"/>
  <c r="D11" i="4"/>
  <c r="D10" i="4"/>
  <c r="B10" i="4"/>
  <c r="G10" i="4" s="1"/>
  <c r="H10" i="4" s="1"/>
  <c r="D9" i="4"/>
  <c r="B9" i="4"/>
  <c r="G9" i="4" s="1"/>
  <c r="H9" i="4" s="1"/>
  <c r="D8" i="4"/>
  <c r="B8" i="4"/>
  <c r="G8" i="4" s="1"/>
  <c r="H8" i="4" s="1"/>
  <c r="D13" i="1"/>
  <c r="G13" i="1" s="1"/>
  <c r="H13" i="1" s="1"/>
  <c r="G12" i="1"/>
  <c r="H12" i="1" s="1"/>
  <c r="D12" i="1"/>
  <c r="D11" i="1"/>
  <c r="G11" i="1" s="1"/>
  <c r="H11" i="1" s="1"/>
  <c r="D10" i="1"/>
  <c r="G10" i="1" s="1"/>
  <c r="H10" i="1" s="1"/>
  <c r="D9" i="1"/>
  <c r="G9" i="1" s="1"/>
  <c r="H9" i="1" s="1"/>
  <c r="D8" i="1"/>
  <c r="G8" i="1" s="1"/>
  <c r="H8" i="1" s="1"/>
</calcChain>
</file>

<file path=xl/sharedStrings.xml><?xml version="1.0" encoding="utf-8"?>
<sst xmlns="http://schemas.openxmlformats.org/spreadsheetml/2006/main" count="61" uniqueCount="31">
  <si>
    <t>ICICI Online Banking application</t>
  </si>
  <si>
    <t>NFR</t>
  </si>
  <si>
    <t>Throughtput (TPS)</t>
  </si>
  <si>
    <t>Transaction</t>
  </si>
  <si>
    <t>Money Tranfer</t>
  </si>
  <si>
    <t>Adding Users</t>
  </si>
  <si>
    <t>Transaction History</t>
  </si>
  <si>
    <t>Account Summary</t>
  </si>
  <si>
    <t>Order Check book</t>
  </si>
  <si>
    <t>Apply Loan</t>
  </si>
  <si>
    <t>No. Of transactions per hour</t>
  </si>
  <si>
    <t>(Peak Hour - 11 Am to 12AM)</t>
  </si>
  <si>
    <t>Transactions involved</t>
  </si>
  <si>
    <t>Launch page,(TT) Login, (TT) Launch MoneyTranfer Page, (TT)
 Money Transfer, (TT)Logout</t>
  </si>
  <si>
    <t>Industry Standard for TT is 10 Secs</t>
  </si>
  <si>
    <t>Launch page,(TT) Login, (TT) Launch Add Users Page, (TT)
Adding Users, (TT)Logout</t>
  </si>
  <si>
    <t>….</t>
  </si>
  <si>
    <t>N = TPS * (RT)</t>
  </si>
  <si>
    <t>N = TPS *(SET + Pacing)</t>
  </si>
  <si>
    <t>SET +Pacing = N /TPS</t>
  </si>
  <si>
    <t>N/TPS</t>
  </si>
  <si>
    <t>Concurrent Users (N)</t>
  </si>
  <si>
    <t>Pacing = N /TPS - SET</t>
  </si>
  <si>
    <t>Pacing</t>
  </si>
  <si>
    <t>SET (Secs)</t>
  </si>
  <si>
    <t>Pacing (SECS)</t>
  </si>
  <si>
    <t>6 Transactions</t>
  </si>
  <si>
    <t>40 to 50 transactions</t>
  </si>
  <si>
    <t>PT</t>
  </si>
  <si>
    <t>400 to 500 Test cases</t>
  </si>
  <si>
    <t>GMAIL WEB APPLICATION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</si>
</sst>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1" xfId="0" applyFont="1" applyFill="1" applyBorder="1"/>
    <xf numFmtId="0" fontId="0" fillId="2" borderId="1" xfId="0" applyFill="1" applyBorder="1"/>
    <xf numFmtId="0" fontId="1" fillId="3" borderId="1" xfId="0" applyFont="1" applyFill="1" applyBorder="1"/>
    <xf numFmtId="0" fontId="0" fillId="3" borderId="1" xfId="0" applyFill="1" applyBorder="1"/>
    <xf numFmtId="0" fontId="0" fillId="3" borderId="1" xfId="0" applyFill="1" applyBorder="1" applyAlignment="1">
      <alignment wrapText="1"/>
    </xf>
    <xf numFmtId="0" fontId="0" fillId="0" borderId="1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zoomScale="80" zoomScaleNormal="80" workbookViewId="0">
      <selection activeCell="C73" sqref="C73"/>
    </sheetView>
  </sheetViews>
  <sheetFormatPr defaultRowHeight="14.4" x14ac:dyDescent="0.3"/>
  <cols>
    <col min="1" max="1" width="18.6640625" customWidth="1"/>
    <col min="2" max="2" width="19.88671875" bestFit="1" customWidth="1"/>
    <col min="3" max="3" width="26.44140625" bestFit="1" customWidth="1"/>
    <col min="4" max="4" width="17.33203125" bestFit="1" customWidth="1"/>
    <col min="5" max="5" width="37.33203125" bestFit="1" customWidth="1"/>
    <col min="6" max="6" width="9.6640625" bestFit="1" customWidth="1"/>
    <col min="8" max="8" width="13.109375" bestFit="1" customWidth="1"/>
  </cols>
  <sheetData>
    <row r="1" spans="1:8" x14ac:dyDescent="0.3">
      <c r="A1" s="19" t="s">
        <v>0</v>
      </c>
      <c r="B1" s="19"/>
    </row>
    <row r="4" spans="1:8" x14ac:dyDescent="0.3">
      <c r="A4" s="1" t="s">
        <v>1</v>
      </c>
    </row>
    <row r="5" spans="1:8" ht="15" thickBot="1" x14ac:dyDescent="0.35"/>
    <row r="6" spans="1:8" x14ac:dyDescent="0.3">
      <c r="A6" s="5" t="s">
        <v>3</v>
      </c>
      <c r="B6" s="6" t="s">
        <v>21</v>
      </c>
      <c r="C6" s="6" t="s">
        <v>10</v>
      </c>
      <c r="D6" s="6" t="s">
        <v>2</v>
      </c>
      <c r="E6" s="6" t="s">
        <v>12</v>
      </c>
      <c r="F6" s="6" t="s">
        <v>24</v>
      </c>
      <c r="G6" s="6" t="s">
        <v>20</v>
      </c>
      <c r="H6" s="7" t="s">
        <v>25</v>
      </c>
    </row>
    <row r="7" spans="1:8" x14ac:dyDescent="0.3">
      <c r="A7" s="8"/>
      <c r="B7" s="3"/>
      <c r="C7" s="3" t="s">
        <v>11</v>
      </c>
      <c r="D7" s="3"/>
      <c r="E7" s="3"/>
      <c r="F7" s="3"/>
      <c r="G7" s="3"/>
      <c r="H7" s="9"/>
    </row>
    <row r="8" spans="1:8" ht="43.2" x14ac:dyDescent="0.3">
      <c r="A8" s="8" t="s">
        <v>4</v>
      </c>
      <c r="B8" s="3">
        <v>4</v>
      </c>
      <c r="C8" s="3">
        <v>120</v>
      </c>
      <c r="D8" s="3">
        <f>C8/3600</f>
        <v>3.3333333333333333E-2</v>
      </c>
      <c r="E8" s="4" t="s">
        <v>13</v>
      </c>
      <c r="F8" s="3">
        <v>60</v>
      </c>
      <c r="G8" s="3">
        <f>B8/D8</f>
        <v>120</v>
      </c>
      <c r="H8" s="9">
        <f>G8-F8</f>
        <v>60</v>
      </c>
    </row>
    <row r="9" spans="1:8" ht="43.2" x14ac:dyDescent="0.3">
      <c r="A9" s="8" t="s">
        <v>5</v>
      </c>
      <c r="B9" s="3">
        <v>3</v>
      </c>
      <c r="C9" s="3">
        <v>100</v>
      </c>
      <c r="D9" s="3">
        <f t="shared" ref="D9:D13" si="0">C9/3600</f>
        <v>2.7777777777777776E-2</v>
      </c>
      <c r="E9" s="4" t="s">
        <v>15</v>
      </c>
      <c r="F9" s="3">
        <v>60</v>
      </c>
      <c r="G9" s="3">
        <f t="shared" ref="G9:G13" si="1">B9/D9</f>
        <v>108</v>
      </c>
      <c r="H9" s="9">
        <f t="shared" ref="H9:H13" si="2">G9-F9</f>
        <v>48</v>
      </c>
    </row>
    <row r="10" spans="1:8" x14ac:dyDescent="0.3">
      <c r="A10" s="8" t="s">
        <v>6</v>
      </c>
      <c r="B10" s="3">
        <v>20</v>
      </c>
      <c r="C10" s="3">
        <v>1000</v>
      </c>
      <c r="D10" s="3">
        <f t="shared" si="0"/>
        <v>0.27777777777777779</v>
      </c>
      <c r="E10" s="3" t="s">
        <v>16</v>
      </c>
      <c r="F10" s="3">
        <v>70</v>
      </c>
      <c r="G10" s="3">
        <f t="shared" si="1"/>
        <v>72</v>
      </c>
      <c r="H10" s="9">
        <f t="shared" si="2"/>
        <v>2</v>
      </c>
    </row>
    <row r="11" spans="1:8" x14ac:dyDescent="0.3">
      <c r="A11" s="8" t="s">
        <v>7</v>
      </c>
      <c r="B11" s="3">
        <v>300</v>
      </c>
      <c r="C11" s="3">
        <v>10000</v>
      </c>
      <c r="D11" s="3">
        <f t="shared" si="0"/>
        <v>2.7777777777777777</v>
      </c>
      <c r="E11" s="3" t="s">
        <v>16</v>
      </c>
      <c r="F11" s="3">
        <v>80</v>
      </c>
      <c r="G11" s="3">
        <f t="shared" si="1"/>
        <v>108</v>
      </c>
      <c r="H11" s="9">
        <f t="shared" si="2"/>
        <v>28</v>
      </c>
    </row>
    <row r="12" spans="1:8" x14ac:dyDescent="0.3">
      <c r="A12" s="8" t="s">
        <v>8</v>
      </c>
      <c r="B12" s="3">
        <v>3</v>
      </c>
      <c r="C12" s="3">
        <v>100</v>
      </c>
      <c r="D12" s="3">
        <f t="shared" si="0"/>
        <v>2.7777777777777776E-2</v>
      </c>
      <c r="E12" s="3" t="s">
        <v>16</v>
      </c>
      <c r="F12" s="3">
        <v>40</v>
      </c>
      <c r="G12" s="3">
        <f t="shared" si="1"/>
        <v>108</v>
      </c>
      <c r="H12" s="9">
        <f t="shared" si="2"/>
        <v>68</v>
      </c>
    </row>
    <row r="13" spans="1:8" ht="15" thickBot="1" x14ac:dyDescent="0.35">
      <c r="A13" s="10" t="s">
        <v>9</v>
      </c>
      <c r="B13" s="11">
        <v>2</v>
      </c>
      <c r="C13" s="11">
        <v>70</v>
      </c>
      <c r="D13" s="11">
        <f t="shared" si="0"/>
        <v>1.9444444444444445E-2</v>
      </c>
      <c r="E13" s="11" t="s">
        <v>16</v>
      </c>
      <c r="F13" s="11">
        <v>30</v>
      </c>
      <c r="G13" s="11">
        <f t="shared" si="1"/>
        <v>102.85714285714286</v>
      </c>
      <c r="H13" s="12">
        <f t="shared" si="2"/>
        <v>72.857142857142861</v>
      </c>
    </row>
    <row r="18" spans="1:2" x14ac:dyDescent="0.3">
      <c r="A18" t="s">
        <v>14</v>
      </c>
    </row>
    <row r="21" spans="1:2" x14ac:dyDescent="0.3">
      <c r="A21" t="s">
        <v>17</v>
      </c>
    </row>
    <row r="22" spans="1:2" x14ac:dyDescent="0.3">
      <c r="A22" t="s">
        <v>18</v>
      </c>
    </row>
    <row r="23" spans="1:2" x14ac:dyDescent="0.3">
      <c r="A23" t="s">
        <v>19</v>
      </c>
    </row>
    <row r="24" spans="1:2" x14ac:dyDescent="0.3">
      <c r="A24" t="s">
        <v>22</v>
      </c>
    </row>
    <row r="29" spans="1:2" x14ac:dyDescent="0.3">
      <c r="A29" t="s">
        <v>26</v>
      </c>
    </row>
    <row r="30" spans="1:2" x14ac:dyDescent="0.3">
      <c r="A30" t="s">
        <v>27</v>
      </c>
      <c r="B30" t="s">
        <v>28</v>
      </c>
    </row>
    <row r="31" spans="1:2" x14ac:dyDescent="0.3">
      <c r="A31" t="s">
        <v>29</v>
      </c>
    </row>
  </sheetData>
  <mergeCells count="1">
    <mergeCell ref="A1:B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zoomScale="80" zoomScaleNormal="80" workbookViewId="0">
      <selection activeCell="F8" sqref="F8:F13"/>
    </sheetView>
  </sheetViews>
  <sheetFormatPr defaultRowHeight="14.4" x14ac:dyDescent="0.3"/>
  <cols>
    <col min="1" max="1" width="18.6640625" customWidth="1"/>
    <col min="2" max="2" width="19.88671875" bestFit="1" customWidth="1"/>
    <col min="3" max="3" width="26.44140625" bestFit="1" customWidth="1"/>
    <col min="4" max="4" width="17.33203125" bestFit="1" customWidth="1"/>
    <col min="5" max="5" width="37.33203125" bestFit="1" customWidth="1"/>
    <col min="6" max="6" width="9.6640625" bestFit="1" customWidth="1"/>
  </cols>
  <sheetData>
    <row r="1" spans="1:8" x14ac:dyDescent="0.3">
      <c r="A1" s="19" t="s">
        <v>0</v>
      </c>
      <c r="B1" s="19"/>
    </row>
    <row r="4" spans="1:8" x14ac:dyDescent="0.3">
      <c r="A4" s="1" t="s">
        <v>1</v>
      </c>
    </row>
    <row r="6" spans="1:8" x14ac:dyDescent="0.3">
      <c r="A6" s="13" t="s">
        <v>3</v>
      </c>
      <c r="B6" s="13" t="s">
        <v>21</v>
      </c>
      <c r="C6" s="13" t="s">
        <v>10</v>
      </c>
      <c r="D6" s="2" t="s">
        <v>2</v>
      </c>
      <c r="E6" s="15" t="s">
        <v>12</v>
      </c>
      <c r="F6" s="15" t="s">
        <v>24</v>
      </c>
      <c r="G6" s="2" t="s">
        <v>20</v>
      </c>
      <c r="H6" s="2" t="s">
        <v>23</v>
      </c>
    </row>
    <row r="7" spans="1:8" x14ac:dyDescent="0.3">
      <c r="A7" s="14"/>
      <c r="B7" s="14">
        <v>450</v>
      </c>
      <c r="C7" s="14" t="s">
        <v>11</v>
      </c>
      <c r="D7" s="3"/>
      <c r="E7" s="16"/>
      <c r="F7" s="16"/>
      <c r="G7" s="3"/>
      <c r="H7" s="3"/>
    </row>
    <row r="8" spans="1:8" ht="43.2" x14ac:dyDescent="0.3">
      <c r="A8" s="14" t="s">
        <v>4</v>
      </c>
      <c r="B8" s="18">
        <f>ROUND(C8/25.3,0)</f>
        <v>5</v>
      </c>
      <c r="C8" s="14">
        <v>120</v>
      </c>
      <c r="D8" s="3">
        <f>C8/3600</f>
        <v>3.3333333333333333E-2</v>
      </c>
      <c r="E8" s="17" t="s">
        <v>13</v>
      </c>
      <c r="F8" s="16">
        <v>60</v>
      </c>
      <c r="G8" s="3">
        <f t="shared" ref="G8:G13" si="0">B8/D8</f>
        <v>150</v>
      </c>
      <c r="H8" s="3">
        <f>G8-F8</f>
        <v>90</v>
      </c>
    </row>
    <row r="9" spans="1:8" ht="43.2" x14ac:dyDescent="0.3">
      <c r="A9" s="14" t="s">
        <v>5</v>
      </c>
      <c r="B9" s="18">
        <f t="shared" ref="B9:B13" si="1">ROUND(C9/25.3,0)</f>
        <v>4</v>
      </c>
      <c r="C9" s="14">
        <v>100</v>
      </c>
      <c r="D9" s="3">
        <f>C9/3600</f>
        <v>2.7777777777777776E-2</v>
      </c>
      <c r="E9" s="17" t="s">
        <v>15</v>
      </c>
      <c r="F9" s="16">
        <v>70</v>
      </c>
      <c r="G9" s="3">
        <f t="shared" si="0"/>
        <v>144</v>
      </c>
      <c r="H9" s="3">
        <f t="shared" ref="H9:H13" si="2">G9-F9</f>
        <v>74</v>
      </c>
    </row>
    <row r="10" spans="1:8" x14ac:dyDescent="0.3">
      <c r="A10" s="14" t="s">
        <v>6</v>
      </c>
      <c r="B10" s="18">
        <f t="shared" si="1"/>
        <v>40</v>
      </c>
      <c r="C10" s="14">
        <v>1000</v>
      </c>
      <c r="D10" s="3">
        <f t="shared" ref="D10:D13" si="3">C10/3600</f>
        <v>0.27777777777777779</v>
      </c>
      <c r="E10" s="16" t="s">
        <v>16</v>
      </c>
      <c r="F10" s="16">
        <v>80</v>
      </c>
      <c r="G10" s="3">
        <f t="shared" si="0"/>
        <v>144</v>
      </c>
      <c r="H10" s="3">
        <f t="shared" si="2"/>
        <v>64</v>
      </c>
    </row>
    <row r="11" spans="1:8" x14ac:dyDescent="0.3">
      <c r="A11" s="14" t="s">
        <v>7</v>
      </c>
      <c r="B11" s="18">
        <v>394</v>
      </c>
      <c r="C11" s="14">
        <v>10000</v>
      </c>
      <c r="D11" s="3">
        <f t="shared" si="3"/>
        <v>2.7777777777777777</v>
      </c>
      <c r="E11" s="16" t="s">
        <v>16</v>
      </c>
      <c r="F11" s="16">
        <v>60</v>
      </c>
      <c r="G11" s="3">
        <f t="shared" si="0"/>
        <v>141.84</v>
      </c>
      <c r="H11" s="3">
        <f t="shared" si="2"/>
        <v>81.84</v>
      </c>
    </row>
    <row r="12" spans="1:8" x14ac:dyDescent="0.3">
      <c r="A12" s="14" t="s">
        <v>8</v>
      </c>
      <c r="B12" s="18">
        <f t="shared" si="1"/>
        <v>4</v>
      </c>
      <c r="C12" s="14">
        <v>100</v>
      </c>
      <c r="D12" s="3">
        <f t="shared" si="3"/>
        <v>2.7777777777777776E-2</v>
      </c>
      <c r="E12" s="16" t="s">
        <v>16</v>
      </c>
      <c r="F12" s="16">
        <v>60</v>
      </c>
      <c r="G12" s="3">
        <f t="shared" si="0"/>
        <v>144</v>
      </c>
      <c r="H12" s="3">
        <f t="shared" si="2"/>
        <v>84</v>
      </c>
    </row>
    <row r="13" spans="1:8" x14ac:dyDescent="0.3">
      <c r="A13" s="14" t="s">
        <v>9</v>
      </c>
      <c r="B13" s="18">
        <f t="shared" si="1"/>
        <v>3</v>
      </c>
      <c r="C13" s="14">
        <v>70</v>
      </c>
      <c r="D13" s="3">
        <f t="shared" si="3"/>
        <v>1.9444444444444445E-2</v>
      </c>
      <c r="E13" s="16" t="s">
        <v>16</v>
      </c>
      <c r="F13" s="16">
        <v>60</v>
      </c>
      <c r="G13" s="3">
        <f t="shared" si="0"/>
        <v>154.28571428571428</v>
      </c>
      <c r="H13" s="3">
        <f t="shared" si="2"/>
        <v>94.285714285714278</v>
      </c>
    </row>
    <row r="18" spans="1:3" x14ac:dyDescent="0.3">
      <c r="A18" t="s">
        <v>14</v>
      </c>
    </row>
    <row r="21" spans="1:3" x14ac:dyDescent="0.3">
      <c r="A21" t="s">
        <v>17</v>
      </c>
      <c r="C21">
        <f xml:space="preserve"> SUM(C8:C13)</f>
        <v>11390</v>
      </c>
    </row>
    <row r="22" spans="1:3" x14ac:dyDescent="0.3">
      <c r="A22" t="s">
        <v>18</v>
      </c>
    </row>
    <row r="23" spans="1:3" x14ac:dyDescent="0.3">
      <c r="A23" t="s">
        <v>19</v>
      </c>
    </row>
    <row r="24" spans="1:3" x14ac:dyDescent="0.3">
      <c r="A24" t="s">
        <v>22</v>
      </c>
      <c r="C24">
        <f>C21/B7</f>
        <v>25.31111111111111</v>
      </c>
    </row>
  </sheetData>
  <mergeCells count="1">
    <mergeCell ref="A1:B1"/>
  </mergeCells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>
    <row r="1" spans="1:1" x14ac:dyDescent="0.3">
      <c r="A1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ICICI_Online_R1</vt:lpstr>
      <vt:lpstr>ICICI_Online_R2</vt:lpstr>
      <vt:lpstr>Assignment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</dc:creator>
  <cp:lastModifiedBy>Vallabh Kumar</cp:lastModifiedBy>
  <dcterms:created xsi:type="dcterms:W3CDTF">2017-01-18T06:48:33Z</dcterms:created>
  <dcterms:modified xsi:type="dcterms:W3CDTF">2020-04-21T21:28:06Z</dcterms:modified>
</cp:coreProperties>
</file>